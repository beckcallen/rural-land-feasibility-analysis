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4A010443-CFD7-4B1B-9AFD-4B35CA9E74C8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elim" sheetId="2" r:id="rId1"/>
    <sheet name="best" sheetId="1" r:id="rId2"/>
    <sheet name="total cos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3" l="1"/>
  <c r="D19" i="3"/>
  <c r="C19" i="3"/>
  <c r="E11" i="3"/>
  <c r="E20" i="3" s="1"/>
  <c r="D11" i="3"/>
  <c r="D20" i="3" s="1"/>
  <c r="C11" i="3"/>
  <c r="C20" i="3" s="1"/>
</calcChain>
</file>

<file path=xl/sharedStrings.xml><?xml version="1.0" encoding="utf-8"?>
<sst xmlns="http://schemas.openxmlformats.org/spreadsheetml/2006/main" count="235" uniqueCount="129">
  <si>
    <t xml:space="preserve"> Region</t>
  </si>
  <si>
    <t>state</t>
  </si>
  <si>
    <t>acreage</t>
  </si>
  <si>
    <t>price</t>
  </si>
  <si>
    <t>road access</t>
  </si>
  <si>
    <t>flood risk</t>
  </si>
  <si>
    <t>seismic risk</t>
  </si>
  <si>
    <t>soil rating</t>
  </si>
  <si>
    <t>population change</t>
  </si>
  <si>
    <t>elimination reason</t>
  </si>
  <si>
    <t>status</t>
  </si>
  <si>
    <t>war, cove street</t>
  </si>
  <si>
    <t>wv</t>
  </si>
  <si>
    <t>n/a</t>
  </si>
  <si>
    <t>low</t>
  </si>
  <si>
    <t>Lowest median household income in US, contaminated water supply, post-coal economic collapse</t>
  </si>
  <si>
    <t>eliminated</t>
  </si>
  <si>
    <t xml:space="preserve">randolph and pocahontas county </t>
  </si>
  <si>
    <t>terrain too steep throughout region, no viable flat buildable parcels found, limited inventory</t>
  </si>
  <si>
    <t>Potter and Tioga County</t>
  </si>
  <si>
    <t>pa</t>
  </si>
  <si>
    <t>Majority of listings landlocked with no legal road access, remaining parcels unbuildable steep terrain</t>
  </si>
  <si>
    <t>Clallam and Jefferson County</t>
  </si>
  <si>
    <t>wa</t>
  </si>
  <si>
    <t>Land prices too high for budget, raw forested parcels start at $150k+ for target acreage, not viable within $250k total budget</t>
  </si>
  <si>
    <t>Stevens County, Clayton Area</t>
  </si>
  <si>
    <t>yes</t>
  </si>
  <si>
    <t>High wildfire risk, two major wildfires in 2025 burning 18,000+ acres, eastern dry climate contradicts forested sanctuary vision</t>
  </si>
  <si>
    <t>Cherokee and Macon County</t>
  </si>
  <si>
    <t>nc</t>
  </si>
  <si>
    <t>high</t>
  </si>
  <si>
    <t>Hurricane Helene 2024 caused 1,400 homes destroyed, 200+ landslides, expert consensus that similar events will increase in frequency due to climate change</t>
  </si>
  <si>
    <t>Warren County, Sugar Grove</t>
  </si>
  <si>
    <t>very limited</t>
  </si>
  <si>
    <t>100% of soil AOI rated Very Limited for dwellings due to high water table and steep slopes, higher price per acre at $4,300 vs Maine candidate</t>
  </si>
  <si>
    <t>Greenbush, Bennoch Road</t>
  </si>
  <si>
    <t>me</t>
  </si>
  <si>
    <t>Listed in designated flood zone per town of Greenbush, elevation survey required before building, flood risk unacceptable for permanent residence</t>
  </si>
  <si>
    <t>Cathance Township, Smith Cove Road</t>
  </si>
  <si>
    <t>Located in Cathance Lake Shores Subdivision, HOA restrictions likely prohibit barndominium build, only 2 acres insufficient for estate vision</t>
  </si>
  <si>
    <t>Lagrange, South Lagrange Road</t>
  </si>
  <si>
    <t>Only 4.3 acres below 7 acre minimum, no septic or well installed, FEMA flood risk confirmed for surrounding area</t>
  </si>
  <si>
    <t>Aroostook, Drews Lake Lot</t>
  </si>
  <si>
    <t>Marketed as vacation and recreational use only, Winter Road access potentially seasonal, not suitable for permanent full time residence</t>
  </si>
  <si>
    <t>Orient, Boundary Road</t>
  </si>
  <si>
    <t>Located directly on US-Canada border, listing not findable on major platforms suggesting off market or already sold, insufficient data to evaluate</t>
  </si>
  <si>
    <t>Oakfield, South Oakfield Road</t>
  </si>
  <si>
    <t>not limited 56.8%</t>
  </si>
  <si>
    <t>Currently under contract, used as price benchmark — confirms wooded residential buildable parcels in Aroostook County trade around $29-30k for 13-14 acres</t>
  </si>
  <si>
    <t>benchmark/under contract</t>
  </si>
  <si>
    <t>parcel name</t>
  </si>
  <si>
    <t>county</t>
  </si>
  <si>
    <t>price per acre</t>
  </si>
  <si>
    <t>soil source</t>
  </si>
  <si>
    <t>census source</t>
  </si>
  <si>
    <t>well viability</t>
  </si>
  <si>
    <t>notes</t>
  </si>
  <si>
    <t>South Oakfield Road, M3 L8.1</t>
  </si>
  <si>
    <t>aroostook</t>
  </si>
  <si>
    <t>low,fema data unavailable for rural area</t>
  </si>
  <si>
    <t>very low</t>
  </si>
  <si>
    <t>Not Limited 56.8%, Somewhat Limited 32.6%, Very Limited 10.6%</t>
  </si>
  <si>
    <t>USDA Web Soil Survey ME621</t>
  </si>
  <si>
    <t>US Census Bureau QuickFacts 2025</t>
  </si>
  <si>
    <t>Viable, Plaisted gravelly loam</t>
  </si>
  <si>
    <t>Top Candidate, Under Contract May 2026</t>
  </si>
  <si>
    <t>13.7 acres wooded, no deed covenants, year round access, $241 annual tax</t>
  </si>
  <si>
    <t>Jones Hill Road, Warren 80</t>
  </si>
  <si>
    <t>PA</t>
  </si>
  <si>
    <t>Warren</t>
  </si>
  <si>
    <t>Yes</t>
  </si>
  <si>
    <t>Low</t>
  </si>
  <si>
    <t>Very Low</t>
  </si>
  <si>
    <t>Very Limited 100%</t>
  </si>
  <si>
    <t>USDA Web Soil Survey PA609</t>
  </si>
  <si>
    <t>Unknown, high water table concern</t>
  </si>
  <si>
    <t>Eliminated</t>
  </si>
  <si>
    <t>20 acres forested hardwood, electric at road, residential zoning confirmed, high water table throughout AOI, $4,300 per acre vs Maine $2,100 per acre</t>
  </si>
  <si>
    <t>Phase</t>
  </si>
  <si>
    <t>Category</t>
  </si>
  <si>
    <t>Low Estimate</t>
  </si>
  <si>
    <t>Mid Estimate</t>
  </si>
  <si>
    <t>High Estimate</t>
  </si>
  <si>
    <t>Notes</t>
  </si>
  <si>
    <t>Phase 1</t>
  </si>
  <si>
    <t>Land Purchase</t>
  </si>
  <si>
    <t>Oakfield ME benchmark price, Aroostook County, 13.7 acres wooded</t>
  </si>
  <si>
    <t>Site Prep and Land Clearing</t>
  </si>
  <si>
    <t>Includes land clearing $1,200-$3,700, grading $1,000-$4,000, access road $10,000-$30,000, gravel driveway $3,000-$7,000, land survey $200-$1,200. Source: Barndo Gallery 2026</t>
  </si>
  <si>
    <t>Concrete Slab Foundation</t>
  </si>
  <si>
    <t>Slab foundation at $6-$14 per sq ft for 4,000 sq ft barndo. Maine frost depth requires deeper footings than southern states. Source: Barndo Gallery 2026</t>
  </si>
  <si>
    <t>Metal Building Kit and Framing Labor</t>
  </si>
  <si>
    <t>Steel frame barndo kit plus framing labor for 4,000 sq ft at $30-$50 per sq ft kit cost plus labor. High end reflects northeast labor rates. Source: Barndo Gallery 2026</t>
  </si>
  <si>
    <t>Well Installation</t>
  </si>
  <si>
    <t>Well drilling at $25-$65 per foot, estimated 200-300 foot depth for Aroostook County Maine. Source: Barndo Gallery 2026</t>
  </si>
  <si>
    <t>Septic System</t>
  </si>
  <si>
    <t>Standard septic system installation for rural Maine, no existing system on parcel, perc test required before installation. Source: Barndo Gallery 2026</t>
  </si>
  <si>
    <t>Mechanical and Electrical Rough In</t>
  </si>
  <si>
    <t>HVAC $7,000-$16,000, electrical wiring $6,000-$22,500, plumbing rough in $4-$6 per sq ft. High end reflects full 4,000 sq ft build. Source: Barndo Gallery 2026</t>
  </si>
  <si>
    <t>Permits and Professional Fees</t>
  </si>
  <si>
    <t>Building permits $500-$2,000, draftsperson $700-$10,000, structural engineer $100-$220 per hour, architect $100-$250 per hour. Rural Maine permitting generally less strict than urban areas. Source: Barndo Gallery 2026</t>
  </si>
  <si>
    <t>Basic Interior Shell Finishes</t>
  </si>
  <si>
    <t>Drywall $1.50-$3.50 per sq ft, basic flooring $4-$15 per sq ft, paint $1-$6 per sq ft. Phase 1 covers livable shell only, luxury Victorian and industrial finishes deferred to Phase 2. Source: Barndo Gallery 2026</t>
  </si>
  <si>
    <t>Phase 1 Total</t>
  </si>
  <si>
    <t>All Phase 1 Costs Including Land</t>
  </si>
  <si>
    <t>Total estimated cost for land acquisition through basic livable shell. Target budget $250,000 — compare against mid estimate to assess feasibility.</t>
  </si>
  <si>
    <t>Column1</t>
  </si>
  <si>
    <t>Column2</t>
  </si>
  <si>
    <t>Column3</t>
  </si>
  <si>
    <t>Column4</t>
  </si>
  <si>
    <t>Column5</t>
  </si>
  <si>
    <t>Column6</t>
  </si>
  <si>
    <t>Phase 2</t>
  </si>
  <si>
    <t>Victorian and Industrial Interior Finishes</t>
  </si>
  <si>
    <t>Brick veneer walls, concrete upper floors, cathedral windows, Victorian kitchen hardwood cabinets, epoxy garage floors, heated floors. Deferred from Phase 1.</t>
  </si>
  <si>
    <t>Off Grid Systems</t>
  </si>
  <si>
    <t>Solar panel array for Maine climate, rainwater collection and storage system, wood stove backup heating. Sized for full off grid capability.</t>
  </si>
  <si>
    <t>Victorian Greenhouse Addition</t>
  </si>
  <si>
    <t>Attached Victorian style greenhouse connected to kitchen, year round growing capability for Maine climate, heated and insulated. Custom ironwork and glass construction.</t>
  </si>
  <si>
    <t>Perimeter Concrete and Iron Gate Wall</t>
  </si>
  <si>
    <t>Concrete perimeter wall enclosing estate grounds, custom Victorian ironwork gate and entrance, approximate perimeter for 1-2 acre enclosed garden area. Cost varies heavily by wall height and length.</t>
  </si>
  <si>
    <t>Garage Workshop Equipment</t>
  </si>
  <si>
    <t>Two post car lift $3,000-$8,000, Husky tool cabinets and workbenches $3,000-$8,000, garage drainage system $2,000-$5,000, hexagon lighting $1,000-$4,000, epoxy floor coating $3,000-$7,000</t>
  </si>
  <si>
    <t>Phase 2 Total</t>
  </si>
  <si>
    <t>All Phase 2 Costs</t>
  </si>
  <si>
    <t>Total estimated cost for Victorian and industrial finishes, off grid systems, greenhouse, perimeter wall, and garage equipment.</t>
  </si>
  <si>
    <t>Grand Total</t>
  </si>
  <si>
    <t>Full Project Both Phases</t>
  </si>
  <si>
    <t>Complete project cost from land acquisition through full Victorian and industrial finished barndo estate with off grid systems and greenhouse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</si>
</sst>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10" fontId="0" fillId="0" borderId="0" xfId="0" applyNumberFormat="1" applyFont="1"/>
    <xf numFmtId="0" fontId="3" fillId="0" borderId="0" xfId="0" applyFont="1"/>
    <xf numFmtId="164" fontId="0" fillId="0" borderId="0" xfId="0" applyNumberFormat="1"/>
    <xf numFmtId="10" fontId="0" fillId="0" borderId="0" xfId="0" applyNumberFormat="1"/>
    <xf numFmtId="164" fontId="0" fillId="0" borderId="0" xfId="0" applyNumberFormat="1" applyFont="1"/>
    <xf numFmtId="0" fontId="0" fillId="0" borderId="0" xfId="0" applyAlignment="1">
      <alignment wrapText="1"/>
    </xf>
    <xf numFmtId="164" fontId="2" fillId="0" borderId="0" xfId="0" applyNumberFormat="1" applyFont="1"/>
  </cellXfs>
  <cellStyles count="1"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numFmt numFmtId="164" formatCode="_([$$-409]* #,##0.00_);_([$$-409]* \(#,##0.00\);_([$$-409]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4B6799-01D2-4055-91EE-D01DA9F760A5}" name="Table1" displayName="Table1" ref="A1:K14" totalsRowShown="0" headerRowDxfId="29">
  <autoFilter ref="A1:K14" xr:uid="{EF4B6799-01D2-4055-91EE-D01DA9F760A5}"/>
  <tableColumns count="11">
    <tableColumn id="1" xr3:uid="{83F2A7AF-110D-4BD1-A466-E26CF8E4CDF1}" name=" Region"/>
    <tableColumn id="2" xr3:uid="{98E530FD-43AF-4325-AB7C-D33F42C7F2B6}" name="state"/>
    <tableColumn id="3" xr3:uid="{0A782F51-B9CE-44EF-9031-60431A34B93B}" name="acreage"/>
    <tableColumn id="4" xr3:uid="{59BF4283-47FA-4B33-AB8F-32815C7045BB}" name="price"/>
    <tableColumn id="5" xr3:uid="{19379A36-142A-44CE-A19F-AC3D2FE04903}" name="road access"/>
    <tableColumn id="6" xr3:uid="{41630747-D9FB-4CFE-92A0-F4335F096570}" name="flood risk"/>
    <tableColumn id="7" xr3:uid="{D83F6B97-A809-4079-A01C-55B226473E4F}" name="seismic risk"/>
    <tableColumn id="8" xr3:uid="{18D4CEC5-9F7F-406F-A54A-B87A1F01BF9D}" name="soil rating"/>
    <tableColumn id="9" xr3:uid="{8254F1E2-8741-4EF2-BFF2-471B55A23B7C}" name="population change" dataDxfId="28"/>
    <tableColumn id="10" xr3:uid="{DAF1580F-EF62-475D-9C25-BEE4C9406540}" name="elimination reason"/>
    <tableColumn id="11" xr3:uid="{C65AD9CB-3848-4502-8DD2-3C997FF17696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E32553-B668-4F3C-9703-F72FBC17404E}" name="Table3" displayName="Table3" ref="A1:P3" totalsRowShown="0" headerRowDxfId="27" dataDxfId="26">
  <autoFilter ref="A1:P3" xr:uid="{B8E32553-B668-4F3C-9703-F72FBC17404E}"/>
  <tableColumns count="16">
    <tableColumn id="1" xr3:uid="{3ACFCE66-90CA-48B5-BF78-3F9CE83BBC7D}" name="parcel name" dataDxfId="25"/>
    <tableColumn id="2" xr3:uid="{8AD7DBB7-CEEB-404C-BAA5-FBD4574D5EBA}" name="state" dataDxfId="24"/>
    <tableColumn id="3" xr3:uid="{B6B9039D-05DA-4700-8ABD-26E924286D3F}" name="county"/>
    <tableColumn id="4" xr3:uid="{B3605F92-496A-4BFB-AFC2-AF00C00C2679}" name="acreage" dataDxfId="23"/>
    <tableColumn id="5" xr3:uid="{7A50EC68-9BD9-4A89-BA95-066EEB9BD9BB}" name="price" dataDxfId="22"/>
    <tableColumn id="6" xr3:uid="{564650DE-1590-4388-82FB-A0746D8ED00E}" name="price per acre" dataDxfId="21"/>
    <tableColumn id="7" xr3:uid="{68B76725-1043-4D1A-B2EC-DA7A94BE312C}" name="road access"/>
    <tableColumn id="8" xr3:uid="{E2606C0D-283E-4B84-A0BE-37B7832CD5D9}" name="flood risk"/>
    <tableColumn id="9" xr3:uid="{97B659C4-650F-4180-82A0-9BF81352186C}" name="seismic risk"/>
    <tableColumn id="10" xr3:uid="{1FACEEF1-BE3C-40C1-B9DF-E5C1B9A3A3ED}" name="soil rating" dataDxfId="20"/>
    <tableColumn id="11" xr3:uid="{BA784F53-8483-4982-ABBE-A3AF7CFF615F}" name="soil source" dataDxfId="19"/>
    <tableColumn id="12" xr3:uid="{C267D1EB-D96F-44E7-8DE2-6DB4BEDAF937}" name="population change" dataDxfId="18"/>
    <tableColumn id="13" xr3:uid="{558E6005-DDB6-4FBE-BF5B-E2CECF0A0E40}" name="census source" dataDxfId="17"/>
    <tableColumn id="14" xr3:uid="{EE82BE73-1B95-4BA3-95C7-621D41FAC10C}" name="well viability" dataDxfId="16"/>
    <tableColumn id="15" xr3:uid="{7AE4750A-4CDD-4495-B862-9DD9262FA519}" name="status" dataDxfId="15"/>
    <tableColumn id="16" xr3:uid="{04DCE232-BA3F-4AEE-BFD2-5515FB17E2A7}" name="notes" dataDxfId="14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9674B4-4124-43FF-9CF1-B9E754E3F908}" name="Table5" displayName="Table5" ref="A1:F11" totalsRowShown="0" headerRowDxfId="13">
  <autoFilter ref="A1:F11" xr:uid="{FE9674B4-4124-43FF-9CF1-B9E754E3F908}"/>
  <tableColumns count="6">
    <tableColumn id="1" xr3:uid="{4E6FD9B0-9FD6-465B-AF4C-0497E6CCFF81}" name="Phase" dataDxfId="12"/>
    <tableColumn id="2" xr3:uid="{1F50B780-1370-4A4F-BE27-169406D2977C}" name="Category" dataDxfId="11"/>
    <tableColumn id="3" xr3:uid="{E07C3026-B278-4DF8-B241-E52A3397740E}" name="Low Estimate" dataDxfId="10"/>
    <tableColumn id="4" xr3:uid="{BD97B182-3A7A-4873-A68E-74FCBF670556}" name="Mid Estimate" dataDxfId="9"/>
    <tableColumn id="5" xr3:uid="{EBE77D0C-1892-49B7-8DCB-33214435A95A}" name="High Estimate" dataDxfId="8"/>
    <tableColumn id="6" xr3:uid="{D8DD14F4-13CA-46E5-9CD7-B75FA066ABFA}" name="Notes" dataDxfId="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6CAE2B-7E7B-4904-9A6D-7EE241049C06}" name="Table6" displayName="Table6" ref="A13:F19" totalsRowShown="0" headerRowDxfId="6">
  <autoFilter ref="A13:F19" xr:uid="{516CAE2B-7E7B-4904-9A6D-7EE241049C06}"/>
  <tableColumns count="6">
    <tableColumn id="1" xr3:uid="{761745E5-98A6-4E6E-952E-258748968DDB}" name="Column1" dataDxfId="5"/>
    <tableColumn id="2" xr3:uid="{B8D1D7F8-EC90-4A36-9E95-2190877DDCF8}" name="Column2" dataDxfId="4"/>
    <tableColumn id="3" xr3:uid="{83E18CBA-AA63-447B-BAD8-430D8D05B172}" name="Column3" dataDxfId="3"/>
    <tableColumn id="4" xr3:uid="{244E5BBF-5EF8-4EDD-9300-D415FCE76E70}" name="Column4" dataDxfId="2"/>
    <tableColumn id="5" xr3:uid="{CF0081E5-3C6B-479D-900C-BE85A97991D7}" name="Column5" dataDxfId="1"/>
    <tableColumn id="6" xr3:uid="{F20D7002-CC96-414C-852B-4C4228E13CFA}" name="Column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A697-156E-4540-B015-3E7B21D7E896}">
  <dimension ref="A1:K14"/>
  <sheetViews>
    <sheetView workbookViewId="0">
      <selection activeCell="A19" sqref="A19"/>
    </sheetView>
  </sheetViews>
  <sheetFormatPr defaultRowHeight="15"/>
  <cols>
    <col min="1" max="1" width="33.7109375" bestFit="1" customWidth="1"/>
    <col min="2" max="2" width="7.5703125" bestFit="1" customWidth="1"/>
    <col min="3" max="3" width="10.140625" bestFit="1" customWidth="1"/>
    <col min="4" max="4" width="12.7109375" bestFit="1" customWidth="1"/>
    <col min="5" max="5" width="13.42578125" bestFit="1" customWidth="1"/>
    <col min="6" max="6" width="11.42578125" bestFit="1" customWidth="1"/>
    <col min="7" max="7" width="13.28515625" bestFit="1" customWidth="1"/>
    <col min="8" max="8" width="16.28515625" bestFit="1" customWidth="1"/>
    <col min="9" max="9" width="19.7109375" bestFit="1" customWidth="1"/>
    <col min="10" max="10" width="138.85546875" bestFit="1" customWidth="1"/>
    <col min="11" max="11" width="24.42578125" bestFit="1" customWidth="1"/>
  </cols>
  <sheetData>
    <row r="1" spans="1:1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14</v>
      </c>
      <c r="H2" t="s">
        <v>13</v>
      </c>
      <c r="I2" t="s">
        <v>13</v>
      </c>
      <c r="J2" t="s">
        <v>15</v>
      </c>
      <c r="K2" t="s">
        <v>16</v>
      </c>
    </row>
    <row r="3" spans="1:11">
      <c r="A3" t="s">
        <v>17</v>
      </c>
      <c r="B3" t="s">
        <v>12</v>
      </c>
      <c r="C3" t="s">
        <v>13</v>
      </c>
      <c r="D3" t="s">
        <v>13</v>
      </c>
      <c r="E3" t="s">
        <v>13</v>
      </c>
      <c r="F3" t="s">
        <v>14</v>
      </c>
      <c r="G3" t="s">
        <v>14</v>
      </c>
      <c r="H3" t="s">
        <v>13</v>
      </c>
      <c r="I3" t="s">
        <v>13</v>
      </c>
      <c r="J3" t="s">
        <v>18</v>
      </c>
      <c r="K3" t="s">
        <v>16</v>
      </c>
    </row>
    <row r="4" spans="1:11">
      <c r="A4" t="s">
        <v>19</v>
      </c>
      <c r="B4" t="s">
        <v>20</v>
      </c>
      <c r="C4" t="s">
        <v>13</v>
      </c>
      <c r="D4" t="s">
        <v>13</v>
      </c>
      <c r="E4" t="s">
        <v>13</v>
      </c>
      <c r="F4" t="s">
        <v>14</v>
      </c>
      <c r="G4" t="s">
        <v>14</v>
      </c>
      <c r="H4" t="s">
        <v>13</v>
      </c>
      <c r="I4" t="s">
        <v>13</v>
      </c>
      <c r="J4" t="s">
        <v>21</v>
      </c>
      <c r="K4" t="s">
        <v>16</v>
      </c>
    </row>
    <row r="5" spans="1:11">
      <c r="A5" t="s">
        <v>22</v>
      </c>
      <c r="B5" t="s">
        <v>23</v>
      </c>
      <c r="C5" t="s">
        <v>13</v>
      </c>
      <c r="D5" t="s">
        <v>13</v>
      </c>
      <c r="E5" t="s">
        <v>13</v>
      </c>
      <c r="F5" t="s">
        <v>14</v>
      </c>
      <c r="G5" t="s">
        <v>14</v>
      </c>
      <c r="H5" t="s">
        <v>13</v>
      </c>
      <c r="I5" t="s">
        <v>13</v>
      </c>
      <c r="J5" t="s">
        <v>24</v>
      </c>
      <c r="K5" t="s">
        <v>16</v>
      </c>
    </row>
    <row r="6" spans="1:11">
      <c r="A6" t="s">
        <v>25</v>
      </c>
      <c r="B6" t="s">
        <v>23</v>
      </c>
      <c r="C6">
        <v>5</v>
      </c>
      <c r="D6" s="6">
        <v>120000</v>
      </c>
      <c r="E6" t="s">
        <v>26</v>
      </c>
      <c r="F6" t="s">
        <v>14</v>
      </c>
      <c r="G6" t="s">
        <v>14</v>
      </c>
      <c r="H6" t="s">
        <v>13</v>
      </c>
      <c r="I6" t="s">
        <v>13</v>
      </c>
      <c r="J6" t="s">
        <v>27</v>
      </c>
      <c r="K6" t="s">
        <v>16</v>
      </c>
    </row>
    <row r="7" spans="1:11">
      <c r="A7" t="s">
        <v>28</v>
      </c>
      <c r="B7" t="s">
        <v>29</v>
      </c>
      <c r="C7" t="s">
        <v>13</v>
      </c>
      <c r="D7" t="s">
        <v>13</v>
      </c>
      <c r="E7" t="s">
        <v>13</v>
      </c>
      <c r="F7" t="s">
        <v>30</v>
      </c>
      <c r="G7" t="s">
        <v>14</v>
      </c>
      <c r="H7" t="s">
        <v>13</v>
      </c>
      <c r="I7" t="s">
        <v>13</v>
      </c>
      <c r="J7" t="s">
        <v>31</v>
      </c>
      <c r="K7" t="s">
        <v>16</v>
      </c>
    </row>
    <row r="8" spans="1:11">
      <c r="A8" t="s">
        <v>32</v>
      </c>
      <c r="B8" t="s">
        <v>20</v>
      </c>
      <c r="C8">
        <v>20</v>
      </c>
      <c r="D8" s="6">
        <v>86000</v>
      </c>
      <c r="E8" t="s">
        <v>26</v>
      </c>
      <c r="F8" t="s">
        <v>14</v>
      </c>
      <c r="G8" t="s">
        <v>14</v>
      </c>
      <c r="H8" t="s">
        <v>33</v>
      </c>
      <c r="I8" s="7">
        <v>-0.04</v>
      </c>
      <c r="J8" t="s">
        <v>34</v>
      </c>
      <c r="K8" t="s">
        <v>16</v>
      </c>
    </row>
    <row r="9" spans="1:11">
      <c r="A9" t="s">
        <v>35</v>
      </c>
      <c r="B9" t="s">
        <v>36</v>
      </c>
      <c r="C9">
        <v>40</v>
      </c>
      <c r="D9" s="6">
        <v>50000</v>
      </c>
      <c r="E9" t="s">
        <v>26</v>
      </c>
      <c r="F9" t="s">
        <v>30</v>
      </c>
      <c r="G9" t="s">
        <v>14</v>
      </c>
      <c r="H9" t="s">
        <v>13</v>
      </c>
      <c r="I9" s="7">
        <v>-7.0000000000000001E-3</v>
      </c>
      <c r="J9" t="s">
        <v>37</v>
      </c>
      <c r="K9" t="s">
        <v>16</v>
      </c>
    </row>
    <row r="10" spans="1:11">
      <c r="A10" t="s">
        <v>38</v>
      </c>
      <c r="B10" t="s">
        <v>36</v>
      </c>
      <c r="C10">
        <v>2</v>
      </c>
      <c r="D10" s="6">
        <v>21000</v>
      </c>
      <c r="E10" t="s">
        <v>26</v>
      </c>
      <c r="F10" t="s">
        <v>14</v>
      </c>
      <c r="G10" t="s">
        <v>14</v>
      </c>
      <c r="H10" t="s">
        <v>13</v>
      </c>
      <c r="I10" s="7">
        <v>-7.0000000000000001E-3</v>
      </c>
      <c r="J10" t="s">
        <v>39</v>
      </c>
      <c r="K10" t="s">
        <v>16</v>
      </c>
    </row>
    <row r="11" spans="1:11">
      <c r="A11" t="s">
        <v>40</v>
      </c>
      <c r="B11" t="s">
        <v>36</v>
      </c>
      <c r="C11">
        <v>4.3</v>
      </c>
      <c r="D11" s="6">
        <v>50000</v>
      </c>
      <c r="E11" t="s">
        <v>26</v>
      </c>
      <c r="F11" t="s">
        <v>30</v>
      </c>
      <c r="G11" t="s">
        <v>14</v>
      </c>
      <c r="H11" t="s">
        <v>13</v>
      </c>
      <c r="I11" s="7">
        <v>-7.0000000000000001E-3</v>
      </c>
      <c r="J11" t="s">
        <v>41</v>
      </c>
      <c r="K11" t="s">
        <v>16</v>
      </c>
    </row>
    <row r="12" spans="1:11">
      <c r="A12" t="s">
        <v>42</v>
      </c>
      <c r="B12" t="s">
        <v>36</v>
      </c>
      <c r="C12">
        <v>6.8</v>
      </c>
      <c r="D12" s="6">
        <v>320000</v>
      </c>
      <c r="E12" t="s">
        <v>26</v>
      </c>
      <c r="F12" t="s">
        <v>14</v>
      </c>
      <c r="G12" t="s">
        <v>14</v>
      </c>
      <c r="H12" t="s">
        <v>13</v>
      </c>
      <c r="I12" s="7">
        <v>-7.0000000000000001E-3</v>
      </c>
      <c r="J12" t="s">
        <v>43</v>
      </c>
      <c r="K12" t="s">
        <v>16</v>
      </c>
    </row>
    <row r="13" spans="1:11">
      <c r="A13" t="s">
        <v>44</v>
      </c>
      <c r="B13" t="s">
        <v>36</v>
      </c>
      <c r="C13" t="s">
        <v>13</v>
      </c>
      <c r="D13" s="6">
        <v>40000</v>
      </c>
      <c r="E13" t="s">
        <v>13</v>
      </c>
      <c r="F13" t="s">
        <v>13</v>
      </c>
      <c r="G13" t="s">
        <v>14</v>
      </c>
      <c r="H13" t="s">
        <v>13</v>
      </c>
      <c r="I13" s="7">
        <v>-7.0000000000000001E-3</v>
      </c>
      <c r="J13" t="s">
        <v>45</v>
      </c>
      <c r="K13" t="s">
        <v>16</v>
      </c>
    </row>
    <row r="14" spans="1:11">
      <c r="A14" t="s">
        <v>46</v>
      </c>
      <c r="B14" t="s">
        <v>36</v>
      </c>
      <c r="C14">
        <v>13.7</v>
      </c>
      <c r="D14" s="6">
        <v>29900</v>
      </c>
      <c r="E14" t="s">
        <v>26</v>
      </c>
      <c r="F14" t="s">
        <v>14</v>
      </c>
      <c r="G14" t="s">
        <v>14</v>
      </c>
      <c r="H14" t="s">
        <v>47</v>
      </c>
      <c r="I14" s="7">
        <v>-7.0000000000000001E-3</v>
      </c>
      <c r="J14" t="s">
        <v>48</v>
      </c>
      <c r="K14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workbookViewId="0">
      <selection activeCell="A23" sqref="A23"/>
    </sheetView>
  </sheetViews>
  <sheetFormatPr defaultRowHeight="15"/>
  <cols>
    <col min="1" max="1" width="27.28515625" bestFit="1" customWidth="1"/>
    <col min="2" max="2" width="7.5703125" bestFit="1" customWidth="1"/>
    <col min="3" max="3" width="9.7109375" bestFit="1" customWidth="1"/>
    <col min="4" max="4" width="10.140625" bestFit="1" customWidth="1"/>
    <col min="5" max="5" width="11.5703125" bestFit="1" customWidth="1"/>
    <col min="6" max="6" width="15.28515625" bestFit="1" customWidth="1"/>
    <col min="7" max="7" width="13.42578125" bestFit="1" customWidth="1"/>
    <col min="8" max="8" width="35.85546875" bestFit="1" customWidth="1"/>
    <col min="9" max="9" width="13.28515625" bestFit="1" customWidth="1"/>
    <col min="10" max="10" width="59" bestFit="1" customWidth="1"/>
    <col min="11" max="11" width="27.42578125" bestFit="1" customWidth="1"/>
    <col min="12" max="12" width="19.7109375" bestFit="1" customWidth="1"/>
    <col min="13" max="13" width="31.7109375" bestFit="1" customWidth="1"/>
    <col min="14" max="14" width="32.7109375" bestFit="1" customWidth="1"/>
    <col min="15" max="15" width="37.7109375" bestFit="1" customWidth="1"/>
    <col min="16" max="16" width="134.28515625" bestFit="1" customWidth="1"/>
  </cols>
  <sheetData>
    <row r="1" spans="1:16">
      <c r="A1" s="1" t="s">
        <v>50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52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53</v>
      </c>
      <c r="L1" s="1" t="s">
        <v>8</v>
      </c>
      <c r="M1" s="1" t="s">
        <v>54</v>
      </c>
      <c r="N1" s="1" t="s">
        <v>55</v>
      </c>
      <c r="O1" s="1" t="s">
        <v>10</v>
      </c>
      <c r="P1" s="1" t="s">
        <v>56</v>
      </c>
    </row>
    <row r="2" spans="1:16">
      <c r="A2" s="2" t="s">
        <v>57</v>
      </c>
      <c r="B2" s="3" t="s">
        <v>36</v>
      </c>
      <c r="C2" s="3" t="s">
        <v>58</v>
      </c>
      <c r="D2" s="3">
        <v>13.7</v>
      </c>
      <c r="E2" s="8">
        <v>29900</v>
      </c>
      <c r="F2" s="3"/>
      <c r="G2" s="3" t="s">
        <v>26</v>
      </c>
      <c r="H2" s="3" t="s">
        <v>59</v>
      </c>
      <c r="I2" s="3" t="s">
        <v>60</v>
      </c>
      <c r="J2" s="2" t="s">
        <v>61</v>
      </c>
      <c r="K2" s="2" t="s">
        <v>62</v>
      </c>
      <c r="L2" s="4">
        <v>-7.0000000000000001E-3</v>
      </c>
      <c r="M2" s="2" t="s">
        <v>63</v>
      </c>
      <c r="N2" s="2" t="s">
        <v>64</v>
      </c>
      <c r="O2" s="2" t="s">
        <v>65</v>
      </c>
      <c r="P2" s="2" t="s">
        <v>66</v>
      </c>
    </row>
    <row r="3" spans="1:16">
      <c r="A3" s="2" t="s">
        <v>67</v>
      </c>
      <c r="B3" s="3" t="s">
        <v>68</v>
      </c>
      <c r="C3" s="2" t="s">
        <v>69</v>
      </c>
      <c r="D3" s="3">
        <v>20</v>
      </c>
      <c r="E3" s="8">
        <v>86000</v>
      </c>
      <c r="F3" s="3"/>
      <c r="G3" s="2" t="s">
        <v>70</v>
      </c>
      <c r="H3" s="2" t="s">
        <v>71</v>
      </c>
      <c r="I3" s="2" t="s">
        <v>72</v>
      </c>
      <c r="J3" s="2" t="s">
        <v>73</v>
      </c>
      <c r="K3" s="2" t="s">
        <v>74</v>
      </c>
      <c r="L3" s="4">
        <v>-0.04</v>
      </c>
      <c r="M3" s="2" t="s">
        <v>63</v>
      </c>
      <c r="N3" s="2" t="s">
        <v>75</v>
      </c>
      <c r="O3" s="2" t="s">
        <v>76</v>
      </c>
      <c r="P3" s="2" t="s">
        <v>77</v>
      </c>
    </row>
    <row r="4" spans="1:1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1995-49BE-4C3A-84DD-C458A9019213}">
  <dimension ref="A1:F23"/>
  <sheetViews>
    <sheetView tabSelected="1" workbookViewId="0">
      <selection activeCell="A23" sqref="A23:XFD23"/>
    </sheetView>
  </sheetViews>
  <sheetFormatPr defaultRowHeight="15"/>
  <cols>
    <col min="1" max="1" width="12.7109375" bestFit="1" customWidth="1"/>
    <col min="2" max="2" width="36.5703125" bestFit="1" customWidth="1"/>
    <col min="3" max="3" width="15.140625" bestFit="1" customWidth="1"/>
    <col min="4" max="4" width="15" bestFit="1" customWidth="1"/>
    <col min="5" max="5" width="15.42578125" bestFit="1" customWidth="1"/>
    <col min="6" max="6" width="196.140625" bestFit="1" customWidth="1"/>
  </cols>
  <sheetData>
    <row r="1" spans="1:6">
      <c r="A1" s="5" t="s">
        <v>78</v>
      </c>
      <c r="B1" s="5" t="s">
        <v>79</v>
      </c>
      <c r="C1" s="5" t="s">
        <v>80</v>
      </c>
      <c r="D1" s="5" t="s">
        <v>81</v>
      </c>
      <c r="E1" s="5" t="s">
        <v>82</v>
      </c>
      <c r="F1" s="5" t="s">
        <v>83</v>
      </c>
    </row>
    <row r="2" spans="1:6">
      <c r="A2" s="5" t="s">
        <v>84</v>
      </c>
      <c r="B2" s="5" t="s">
        <v>85</v>
      </c>
      <c r="C2" s="6">
        <v>29900</v>
      </c>
      <c r="D2" s="6">
        <v>29900</v>
      </c>
      <c r="E2" s="6">
        <v>29900</v>
      </c>
      <c r="F2" s="5" t="s">
        <v>86</v>
      </c>
    </row>
    <row r="3" spans="1:6">
      <c r="A3" s="5" t="s">
        <v>84</v>
      </c>
      <c r="B3" s="5" t="s">
        <v>87</v>
      </c>
      <c r="C3" s="6">
        <v>15200</v>
      </c>
      <c r="D3" s="6">
        <v>44700</v>
      </c>
      <c r="E3" s="6">
        <v>61700</v>
      </c>
      <c r="F3" s="1" t="s">
        <v>88</v>
      </c>
    </row>
    <row r="4" spans="1:6">
      <c r="A4" s="5" t="s">
        <v>84</v>
      </c>
      <c r="B4" s="5" t="s">
        <v>89</v>
      </c>
      <c r="C4" s="6">
        <v>24000</v>
      </c>
      <c r="D4" s="6">
        <v>56000</v>
      </c>
      <c r="E4" s="6">
        <v>88000</v>
      </c>
      <c r="F4" s="5" t="s">
        <v>90</v>
      </c>
    </row>
    <row r="5" spans="1:6">
      <c r="A5" s="5" t="s">
        <v>84</v>
      </c>
      <c r="B5" s="5" t="s">
        <v>91</v>
      </c>
      <c r="C5" s="6">
        <v>120000</v>
      </c>
      <c r="D5" s="6">
        <v>170000</v>
      </c>
      <c r="E5" s="6">
        <v>200000</v>
      </c>
      <c r="F5" s="5" t="s">
        <v>92</v>
      </c>
    </row>
    <row r="6" spans="1:6">
      <c r="A6" s="5" t="s">
        <v>84</v>
      </c>
      <c r="B6" s="5" t="s">
        <v>93</v>
      </c>
      <c r="C6" s="6">
        <v>5000</v>
      </c>
      <c r="D6" s="6">
        <v>12500</v>
      </c>
      <c r="E6" s="6">
        <v>20000</v>
      </c>
      <c r="F6" s="5" t="s">
        <v>94</v>
      </c>
    </row>
    <row r="7" spans="1:6">
      <c r="A7" s="5" t="s">
        <v>84</v>
      </c>
      <c r="B7" s="5" t="s">
        <v>95</v>
      </c>
      <c r="C7" s="6">
        <v>3500</v>
      </c>
      <c r="D7" s="6">
        <v>6000</v>
      </c>
      <c r="E7" s="6">
        <v>8500</v>
      </c>
      <c r="F7" s="5" t="s">
        <v>96</v>
      </c>
    </row>
    <row r="8" spans="1:6">
      <c r="A8" s="5" t="s">
        <v>84</v>
      </c>
      <c r="B8" s="5" t="s">
        <v>97</v>
      </c>
      <c r="C8" s="6">
        <v>40000</v>
      </c>
      <c r="D8" s="6">
        <v>90000</v>
      </c>
      <c r="E8" s="6">
        <v>180000</v>
      </c>
      <c r="F8" s="5" t="s">
        <v>98</v>
      </c>
    </row>
    <row r="9" spans="1:6">
      <c r="A9" s="5" t="s">
        <v>84</v>
      </c>
      <c r="B9" s="5" t="s">
        <v>99</v>
      </c>
      <c r="C9" s="6">
        <v>5000</v>
      </c>
      <c r="D9" s="6">
        <v>15000</v>
      </c>
      <c r="E9" s="6">
        <v>35000</v>
      </c>
      <c r="F9" s="5" t="s">
        <v>100</v>
      </c>
    </row>
    <row r="10" spans="1:6">
      <c r="A10" s="5" t="s">
        <v>84</v>
      </c>
      <c r="B10" s="5" t="s">
        <v>101</v>
      </c>
      <c r="C10" s="6">
        <v>15000</v>
      </c>
      <c r="D10" s="6">
        <v>45000</v>
      </c>
      <c r="E10" s="6">
        <v>120000</v>
      </c>
      <c r="F10" s="5" t="s">
        <v>102</v>
      </c>
    </row>
    <row r="11" spans="1:6">
      <c r="A11" s="5" t="s">
        <v>103</v>
      </c>
      <c r="B11" s="5" t="s">
        <v>104</v>
      </c>
      <c r="C11" s="6">
        <f>SUM(C2:C10)</f>
        <v>257600</v>
      </c>
      <c r="D11" s="6">
        <f>SUM(D2:D10)</f>
        <v>469100</v>
      </c>
      <c r="E11" s="6">
        <f>SUM(E2:E10)</f>
        <v>743100</v>
      </c>
      <c r="F11" s="5" t="s">
        <v>105</v>
      </c>
    </row>
    <row r="13" spans="1:6">
      <c r="A13" s="5" t="s">
        <v>106</v>
      </c>
      <c r="B13" s="5" t="s">
        <v>107</v>
      </c>
      <c r="C13" s="6" t="s">
        <v>108</v>
      </c>
      <c r="D13" s="6" t="s">
        <v>109</v>
      </c>
      <c r="E13" s="6" t="s">
        <v>110</v>
      </c>
      <c r="F13" s="5" t="s">
        <v>111</v>
      </c>
    </row>
    <row r="14" spans="1:6">
      <c r="A14" s="5" t="s">
        <v>112</v>
      </c>
      <c r="B14" s="5" t="s">
        <v>113</v>
      </c>
      <c r="C14" s="6">
        <v>50000</v>
      </c>
      <c r="D14" s="6">
        <v>120000</v>
      </c>
      <c r="E14" s="6">
        <v>200000</v>
      </c>
      <c r="F14" s="5" t="s">
        <v>114</v>
      </c>
    </row>
    <row r="15" spans="1:6">
      <c r="A15" s="5" t="s">
        <v>112</v>
      </c>
      <c r="B15" s="5" t="s">
        <v>115</v>
      </c>
      <c r="C15" s="6">
        <v>15000</v>
      </c>
      <c r="D15" s="6">
        <v>35000</v>
      </c>
      <c r="E15" s="6">
        <v>60000</v>
      </c>
      <c r="F15" s="5" t="s">
        <v>116</v>
      </c>
    </row>
    <row r="16" spans="1:6">
      <c r="A16" s="5" t="s">
        <v>112</v>
      </c>
      <c r="B16" s="5" t="s">
        <v>117</v>
      </c>
      <c r="C16" s="6">
        <v>15000</v>
      </c>
      <c r="D16" s="6">
        <v>35000</v>
      </c>
      <c r="E16" s="6">
        <v>70000</v>
      </c>
      <c r="F16" s="5" t="s">
        <v>118</v>
      </c>
    </row>
    <row r="17" spans="1:6">
      <c r="A17" s="5" t="s">
        <v>112</v>
      </c>
      <c r="B17" s="5" t="s">
        <v>119</v>
      </c>
      <c r="C17" s="10">
        <v>20000</v>
      </c>
      <c r="D17" s="6">
        <v>50000</v>
      </c>
      <c r="E17" s="6">
        <v>100000</v>
      </c>
      <c r="F17" s="5" t="s">
        <v>120</v>
      </c>
    </row>
    <row r="18" spans="1:6">
      <c r="A18" s="5" t="s">
        <v>112</v>
      </c>
      <c r="B18" s="5" t="s">
        <v>121</v>
      </c>
      <c r="C18" s="6">
        <v>15000</v>
      </c>
      <c r="D18" s="6">
        <v>30000</v>
      </c>
      <c r="E18" s="6">
        <v>55000</v>
      </c>
      <c r="F18" s="5" t="s">
        <v>122</v>
      </c>
    </row>
    <row r="19" spans="1:6">
      <c r="A19" s="5" t="s">
        <v>123</v>
      </c>
      <c r="B19" s="5" t="s">
        <v>124</v>
      </c>
      <c r="C19" s="6">
        <f>SUM(C14:C18)</f>
        <v>115000</v>
      </c>
      <c r="D19" s="6">
        <f>SUM(D14:D18)</f>
        <v>270000</v>
      </c>
      <c r="E19" s="6">
        <f>SUM(E14:E18)</f>
        <v>485000</v>
      </c>
      <c r="F19" s="5" t="s">
        <v>125</v>
      </c>
    </row>
    <row r="20" spans="1:6">
      <c r="A20" s="5" t="s">
        <v>126</v>
      </c>
      <c r="B20" s="5" t="s">
        <v>127</v>
      </c>
      <c r="C20" s="6">
        <f>C11+C19</f>
        <v>372600</v>
      </c>
      <c r="D20" s="6">
        <f>D11+D19</f>
        <v>739100</v>
      </c>
      <c r="E20" s="6">
        <f>E11+E19</f>
        <v>1228100</v>
      </c>
      <c r="F20" s="5" t="s">
        <v>128</v>
      </c>
    </row>
    <row r="23" spans="1:6">
      <c r="B23" s="9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2026-05-25T01:09:10Z</dcterms:created>
  <dcterms:modified xsi:type="dcterms:W3CDTF">2026-05-28T06:53:32Z</dcterms:modified>
  <cp:category/>
  <cp:contentStatus/>
</cp:coreProperties>
</file>